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m\Documents\family_migration\census_database\docs\"/>
    </mc:Choice>
  </mc:AlternateContent>
  <xr:revisionPtr revIDLastSave="0" documentId="13_ncr:1_{1DD40B4F-B247-45EC-BE95-E081E86D5F7F}" xr6:coauthVersionLast="47" xr6:coauthVersionMax="47" xr10:uidLastSave="{00000000-0000-0000-0000-000000000000}"/>
  <bookViews>
    <workbookView xWindow="-120" yWindow="-120" windowWidth="29040" windowHeight="15720" xr2:uid="{8956C687-327A-4124-BD0C-14B6E61A9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10" i="1" s="1"/>
  <c r="F4" i="1"/>
  <c r="F5" i="1"/>
  <c r="F6" i="1"/>
  <c r="F7" i="1"/>
  <c r="F8" i="1"/>
  <c r="F2" i="1"/>
  <c r="K6" i="1"/>
  <c r="L6" i="1" s="1"/>
  <c r="K7" i="1"/>
  <c r="L7" i="1" s="1"/>
  <c r="K8" i="1"/>
  <c r="L8" i="1" s="1"/>
  <c r="D3" i="1"/>
  <c r="H3" i="1" s="1"/>
  <c r="D4" i="1"/>
  <c r="K4" i="1" s="1"/>
  <c r="L4" i="1" s="1"/>
  <c r="D5" i="1"/>
  <c r="K5" i="1" s="1"/>
  <c r="L5" i="1" s="1"/>
  <c r="D6" i="1"/>
  <c r="D7" i="1"/>
  <c r="D8" i="1"/>
  <c r="D2" i="1"/>
  <c r="H2" i="1" s="1"/>
  <c r="K3" i="1" l="1"/>
  <c r="L3" i="1" s="1"/>
  <c r="I3" i="1"/>
  <c r="K2" i="1"/>
  <c r="L2" i="1" s="1"/>
  <c r="D10" i="1"/>
  <c r="I2" i="1"/>
  <c r="H4" i="1"/>
  <c r="I4" i="1" s="1"/>
  <c r="H5" i="1" l="1"/>
  <c r="I5" i="1" s="1"/>
  <c r="H6" i="1" l="1"/>
  <c r="I6" i="1" s="1"/>
  <c r="H8" i="1" l="1"/>
  <c r="I8" i="1" s="1"/>
  <c r="H7" i="1"/>
  <c r="I7" i="1" s="1"/>
  <c r="I10" i="1" l="1"/>
</calcChain>
</file>

<file path=xl/sharedStrings.xml><?xml version="1.0" encoding="utf-8"?>
<sst xmlns="http://schemas.openxmlformats.org/spreadsheetml/2006/main" count="13" uniqueCount="13">
  <si>
    <t>rows</t>
  </si>
  <si>
    <t>avg/row</t>
  </si>
  <si>
    <t>compression</t>
  </si>
  <si>
    <t>bytes</t>
  </si>
  <si>
    <t>buckets</t>
  </si>
  <si>
    <t>target filesize</t>
  </si>
  <si>
    <t>year</t>
  </si>
  <si>
    <t>avg filesize(mb)</t>
  </si>
  <si>
    <t>N_BUCKETS</t>
  </si>
  <si>
    <t>Size</t>
  </si>
  <si>
    <t>text</t>
  </si>
  <si>
    <t>GB</t>
  </si>
  <si>
    <t>compr_mb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</si>
</sst>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668C-B356-4F36-8AAE-62E9C1D31F36}">
  <dimension ref="A1:L10"/>
  <sheetViews>
    <sheetView tabSelected="1" workbookViewId="0">
      <selection activeCell="J1" sqref="J1:J8"/>
    </sheetView>
  </sheetViews>
  <sheetFormatPr defaultRowHeight="15" x14ac:dyDescent="0.25"/>
  <cols>
    <col min="2" max="2" width="11.85546875" style="1" customWidth="1"/>
    <col min="3" max="3" width="9.140625" style="1"/>
    <col min="4" max="4" width="13.85546875" style="1" customWidth="1"/>
    <col min="5" max="5" width="12.5703125" style="1" customWidth="1"/>
    <col min="6" max="6" width="12.28515625" style="1" customWidth="1"/>
    <col min="7" max="7" width="15.7109375" customWidth="1"/>
    <col min="8" max="8" width="14.140625" customWidth="1"/>
    <col min="9" max="9" width="13.7109375" customWidth="1"/>
    <col min="10" max="10" width="11.28515625" customWidth="1"/>
    <col min="11" max="11" width="11.7109375" customWidth="1"/>
  </cols>
  <sheetData>
    <row r="1" spans="1:12" x14ac:dyDescent="0.25">
      <c r="A1" t="s">
        <v>6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12</v>
      </c>
      <c r="G1" s="1" t="s">
        <v>5</v>
      </c>
      <c r="H1" s="1" t="s">
        <v>4</v>
      </c>
      <c r="I1" s="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1850</v>
      </c>
      <c r="B2" s="2">
        <v>15000000</v>
      </c>
      <c r="C2" s="1">
        <v>213</v>
      </c>
      <c r="D2" s="2">
        <f>B2*C2</f>
        <v>3195000000</v>
      </c>
      <c r="E2" s="7">
        <v>0.21</v>
      </c>
      <c r="F2" s="5">
        <f>D2/1000000*E2</f>
        <v>670.94999999999993</v>
      </c>
      <c r="G2" s="4">
        <v>200</v>
      </c>
      <c r="H2" s="4">
        <f>ROUND((D2/5/G2/1000000),0)</f>
        <v>3</v>
      </c>
      <c r="I2" s="3">
        <f>ROUND(D2*E2/H2/1000000,0)</f>
        <v>224</v>
      </c>
      <c r="J2">
        <v>4</v>
      </c>
      <c r="K2" s="5">
        <f>ROUND(D2*E2/J2/1000000,0)</f>
        <v>168</v>
      </c>
      <c r="L2" t="str">
        <f>"N_BUCKETS="&amp;J2&amp;" ("&amp;A2&amp;") = "&amp;K2&amp;" MB"</f>
        <v>N_BUCKETS=4 (1850) = 168 MB</v>
      </c>
    </row>
    <row r="3" spans="1:12" x14ac:dyDescent="0.25">
      <c r="A3">
        <v>1860</v>
      </c>
      <c r="B3" s="2">
        <v>21000000</v>
      </c>
      <c r="C3" s="1">
        <v>213</v>
      </c>
      <c r="D3" s="2">
        <f t="shared" ref="D3:D8" si="0">B3*C3</f>
        <v>4473000000</v>
      </c>
      <c r="E3" s="7">
        <v>0.21</v>
      </c>
      <c r="F3" s="5">
        <f t="shared" ref="F3:F8" si="1">D3/1000000*E3</f>
        <v>939.32999999999993</v>
      </c>
      <c r="G3" s="4">
        <v>200</v>
      </c>
      <c r="H3" s="4">
        <f t="shared" ref="H3:H8" si="2">ROUND((D3/5/G3/1000000),0)</f>
        <v>4</v>
      </c>
      <c r="I3" s="3">
        <f t="shared" ref="I3:I8" si="3">ROUND(D3*E3/H3/1000000,0)</f>
        <v>235</v>
      </c>
      <c r="J3">
        <v>4</v>
      </c>
      <c r="K3" s="5">
        <f t="shared" ref="K3:K8" si="4">ROUND(D3*E3/J3/1000000,0)</f>
        <v>235</v>
      </c>
      <c r="L3" t="str">
        <f t="shared" ref="L3:L8" si="5">"N_BUCKETS="&amp;J3&amp;" ("&amp;A3&amp;") = "&amp;K3&amp;" MB"</f>
        <v>N_BUCKETS=4 (1860) = 235 MB</v>
      </c>
    </row>
    <row r="4" spans="1:12" x14ac:dyDescent="0.25">
      <c r="A4">
        <v>1870</v>
      </c>
      <c r="B4" s="2">
        <v>30000000</v>
      </c>
      <c r="C4" s="1">
        <v>213</v>
      </c>
      <c r="D4" s="2">
        <f t="shared" si="0"/>
        <v>6390000000</v>
      </c>
      <c r="E4" s="7">
        <v>0.21</v>
      </c>
      <c r="F4" s="5">
        <f t="shared" si="1"/>
        <v>1341.8999999999999</v>
      </c>
      <c r="G4" s="4">
        <v>200</v>
      </c>
      <c r="H4" s="4">
        <f t="shared" si="2"/>
        <v>6</v>
      </c>
      <c r="I4" s="3">
        <f t="shared" si="3"/>
        <v>224</v>
      </c>
      <c r="J4">
        <v>8</v>
      </c>
      <c r="K4" s="5">
        <f t="shared" si="4"/>
        <v>168</v>
      </c>
      <c r="L4" t="str">
        <f t="shared" si="5"/>
        <v>N_BUCKETS=8 (1870) = 168 MB</v>
      </c>
    </row>
    <row r="5" spans="1:12" x14ac:dyDescent="0.25">
      <c r="A5">
        <v>1880</v>
      </c>
      <c r="B5" s="2">
        <v>40000000</v>
      </c>
      <c r="C5" s="1">
        <v>213</v>
      </c>
      <c r="D5" s="2">
        <f t="shared" si="0"/>
        <v>8520000000</v>
      </c>
      <c r="E5" s="7">
        <v>0.21</v>
      </c>
      <c r="F5" s="5">
        <f t="shared" si="1"/>
        <v>1789.2</v>
      </c>
      <c r="G5" s="4">
        <v>200</v>
      </c>
      <c r="H5" s="4">
        <f t="shared" si="2"/>
        <v>9</v>
      </c>
      <c r="I5" s="3">
        <f t="shared" si="3"/>
        <v>199</v>
      </c>
      <c r="J5">
        <v>8</v>
      </c>
      <c r="K5" s="5">
        <f t="shared" si="4"/>
        <v>224</v>
      </c>
      <c r="L5" t="str">
        <f t="shared" si="5"/>
        <v>N_BUCKETS=8 (1880) = 224 MB</v>
      </c>
    </row>
    <row r="6" spans="1:12" x14ac:dyDescent="0.25">
      <c r="A6">
        <v>1900</v>
      </c>
      <c r="B6" s="2">
        <v>63000000</v>
      </c>
      <c r="C6" s="1">
        <v>213</v>
      </c>
      <c r="D6" s="2">
        <f t="shared" si="0"/>
        <v>13419000000</v>
      </c>
      <c r="E6" s="7">
        <v>0.21</v>
      </c>
      <c r="F6" s="5">
        <f t="shared" si="1"/>
        <v>2817.99</v>
      </c>
      <c r="G6" s="4">
        <v>200</v>
      </c>
      <c r="H6" s="4">
        <f t="shared" si="2"/>
        <v>13</v>
      </c>
      <c r="I6" s="3">
        <f t="shared" si="3"/>
        <v>217</v>
      </c>
      <c r="J6">
        <v>16</v>
      </c>
      <c r="K6" s="5">
        <f t="shared" si="4"/>
        <v>176</v>
      </c>
      <c r="L6" t="str">
        <f t="shared" si="5"/>
        <v>N_BUCKETS=16 (1900) = 176 MB</v>
      </c>
    </row>
    <row r="7" spans="1:12" x14ac:dyDescent="0.25">
      <c r="A7">
        <v>1910</v>
      </c>
      <c r="B7" s="2">
        <v>80000000</v>
      </c>
      <c r="C7" s="1">
        <v>213</v>
      </c>
      <c r="D7" s="2">
        <f t="shared" si="0"/>
        <v>17040000000</v>
      </c>
      <c r="E7" s="7">
        <v>0.21</v>
      </c>
      <c r="F7" s="5">
        <f t="shared" si="1"/>
        <v>3578.4</v>
      </c>
      <c r="G7" s="4">
        <v>200</v>
      </c>
      <c r="H7" s="4">
        <f t="shared" si="2"/>
        <v>17</v>
      </c>
      <c r="I7" s="3">
        <f t="shared" si="3"/>
        <v>210</v>
      </c>
      <c r="J7">
        <v>16</v>
      </c>
      <c r="K7" s="5">
        <f t="shared" si="4"/>
        <v>224</v>
      </c>
      <c r="L7" t="str">
        <f t="shared" si="5"/>
        <v>N_BUCKETS=16 (1910) = 224 MB</v>
      </c>
    </row>
    <row r="8" spans="1:12" x14ac:dyDescent="0.25">
      <c r="A8">
        <v>1920</v>
      </c>
      <c r="B8" s="2">
        <v>80000000</v>
      </c>
      <c r="C8" s="1">
        <v>213</v>
      </c>
      <c r="D8" s="2">
        <f t="shared" si="0"/>
        <v>17040000000</v>
      </c>
      <c r="E8" s="7">
        <v>0.21</v>
      </c>
      <c r="F8" s="5">
        <f t="shared" si="1"/>
        <v>3578.4</v>
      </c>
      <c r="G8" s="4">
        <v>200</v>
      </c>
      <c r="H8" s="4">
        <f t="shared" si="2"/>
        <v>17</v>
      </c>
      <c r="I8" s="3">
        <f t="shared" si="3"/>
        <v>210</v>
      </c>
      <c r="J8">
        <v>16</v>
      </c>
      <c r="K8" s="5">
        <f t="shared" si="4"/>
        <v>224</v>
      </c>
      <c r="L8" t="str">
        <f t="shared" si="5"/>
        <v>N_BUCKETS=16 (1920) = 224 MB</v>
      </c>
    </row>
    <row r="10" spans="1:12" x14ac:dyDescent="0.25">
      <c r="D10" s="6">
        <f>AVERAGE(D2:D8)/1000000000</f>
        <v>10.010999999999999</v>
      </c>
      <c r="E10" s="1" t="s">
        <v>11</v>
      </c>
      <c r="F10" s="5">
        <f>SUM(F2:F8)</f>
        <v>14716.169999999998</v>
      </c>
      <c r="H10" s="4"/>
      <c r="I10" s="3">
        <f>AVERAGE(I2:I8)</f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 Miller</dc:creator>
  <cp:lastModifiedBy>Rock Miller</cp:lastModifiedBy>
  <dcterms:created xsi:type="dcterms:W3CDTF">2025-11-07T19:12:06Z</dcterms:created>
  <dcterms:modified xsi:type="dcterms:W3CDTF">2025-11-16T18:03:16Z</dcterms:modified>
</cp:coreProperties>
</file>